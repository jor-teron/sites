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stomers" sheetId="1" state="visible" r:id="rId3"/>
    <sheet name="Or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<sst xmlns="http://schemas.openxmlformats.org/spreadsheetml/2006/main" count="34" uniqueCount="33">
  <si>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Name</t>
  </si>
  <si>
    <t xml:space="preserve">No</t>
  </si>
  <si>
    <t xml:space="preserve">Company</t>
  </si>
  <si>
    <t xml:space="preserve">City</t>
  </si>
  <si>
    <t xml:space="preserve">Joined</t>
  </si>
  <si>
    <t xml:space="preserve">Amount</t>
  </si>
  <si>
    <t xml:space="preserve">Discount</t>
  </si>
  <si>
    <t xml:space="preserve">Total</t>
  </si>
  <si>
    <t xml:space="preserve">Active</t>
  </si>
  <si>
    <t xml:space="preserve">Note</t>
  </si>
  <si>
    <t xml:space="preserve">Anna Smith</t>
  </si>
  <si>
    <t xml:space="preserve">Smith &amp; Sons, Ltd.</t>
  </si>
  <si>
    <t xml:space="preserve">Paris</t>
  </si>
  <si>
    <t xml:space="preserve">Prefers email.
Call after 5 pm.</t>
  </si>
  <si>
    <t xml:space="preserve">Rahul Mehta</t>
  </si>
  <si>
    <t xml:space="preserve">Mehta Traders</t>
  </si>
  <si>
    <t xml:space="preserve">Mumbai</t>
  </si>
  <si>
    <t xml:space="preserve">Zoë Müller</t>
  </si>
  <si>
    <t xml:space="preserve">Müller "Werkzeug" GmbH</t>
  </si>
  <si>
    <t xml:space="preserve">Köln</t>
  </si>
  <si>
    <t xml:space="preserve">New customer</t>
  </si>
  <si>
    <t xml:space="preserve">Order</t>
  </si>
  <si>
    <t xml:space="preserve">Item</t>
  </si>
  <si>
    <t xml:space="preserve">Qty</t>
  </si>
  <si>
    <t xml:space="preserve">Unit price</t>
  </si>
  <si>
    <t xml:space="preserve">Line total</t>
  </si>
  <si>
    <t xml:space="preserve">Ordered</t>
  </si>
  <si>
    <t xml:space="preserve">A-100</t>
  </si>
  <si>
    <t xml:space="preserve">Widget</t>
  </si>
  <si>
    <t xml:space="preserve">A-101</t>
  </si>
  <si>
    <t xml:space="preserve">Gadget "Pro"</t>
  </si>
  <si>
    <t xml:space="preserve">A-102</t>
  </si>
  <si>
    <t xml:space="preserve">Spanner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</si>
</sst>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"/>
    <numFmt numFmtId="167" formatCode="0%"/>
    <numFmt numFmtId="168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28.35" hidden="false" customHeight="false" outlineLevel="0" collapsed="false">
      <c r="A2" s="0" t="s">
        <v>10</v>
      </c>
      <c r="B2" s="0" t="n">
        <v>1001</v>
      </c>
      <c r="C2" s="0" t="s">
        <v>11</v>
      </c>
      <c r="D2" s="0" t="s">
        <v>12</v>
      </c>
      <c r="E2" s="1" t="n">
        <v>45356</v>
      </c>
      <c r="F2" s="2" t="n">
        <v>1250</v>
      </c>
      <c r="G2" s="3" t="n">
        <v>0.1</v>
      </c>
      <c r="H2" s="2" t="n">
        <f aca="false">F2*(1-G2)</f>
        <v>1125</v>
      </c>
      <c r="I2" s="4" t="b">
        <f aca="false">TRUE()</f>
        <v>1</v>
      </c>
      <c r="J2" s="5" t="s">
        <v>13</v>
      </c>
    </row>
    <row r="3" customFormat="false" ht="15" hidden="false" customHeight="false" outlineLevel="0" collapsed="false">
      <c r="A3" s="0" t="s">
        <v>14</v>
      </c>
      <c r="B3" s="0" t="n">
        <v>1002</v>
      </c>
      <c r="C3" s="0" t="s">
        <v>15</v>
      </c>
      <c r="D3" s="0" t="s">
        <v>16</v>
      </c>
      <c r="E3" s="1" t="n">
        <v>45250</v>
      </c>
      <c r="F3" s="2" t="n">
        <v>980.5</v>
      </c>
      <c r="G3" s="3" t="n">
        <v>0</v>
      </c>
      <c r="H3" s="2" t="n">
        <f aca="false">F3*(1-G3)</f>
        <v>980.5</v>
      </c>
      <c r="I3" s="4" t="b">
        <f aca="false">TRUE()</f>
        <v>1</v>
      </c>
    </row>
    <row r="4" customFormat="false" ht="15" hidden="false" customHeight="false" outlineLevel="0" collapsed="false">
      <c r="A4" s="0" t="s">
        <v>17</v>
      </c>
      <c r="B4" s="0" t="n">
        <v>1003</v>
      </c>
      <c r="C4" s="0" t="s">
        <v>18</v>
      </c>
      <c r="D4" s="0" t="s">
        <v>19</v>
      </c>
      <c r="E4" s="1" t="n">
        <v>45672</v>
      </c>
      <c r="F4" s="2" t="n">
        <v>2400</v>
      </c>
      <c r="G4" s="3" t="n">
        <v>0.05</v>
      </c>
      <c r="H4" s="2" t="n">
        <f aca="false">F4*(1-G4)</f>
        <v>2280</v>
      </c>
      <c r="I4" s="4" t="b">
        <f aca="false">FALSE()</f>
        <v>0</v>
      </c>
      <c r="J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0" t="s">
        <v>21</v>
      </c>
      <c r="B1" s="0" t="s">
        <v>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</row>
    <row r="2" customFormat="false" ht="15" hidden="false" customHeight="false" outlineLevel="0" collapsed="false">
      <c r="A2" s="0" t="s">
        <v>27</v>
      </c>
      <c r="B2" s="0" t="n">
        <v>1001</v>
      </c>
      <c r="C2" s="0" t="s">
        <v>28</v>
      </c>
      <c r="D2" s="0" t="n">
        <v>12</v>
      </c>
      <c r="E2" s="2" t="n">
        <v>4.25</v>
      </c>
      <c r="F2" s="2" t="n">
        <f aca="false">D2*E2</f>
        <v>51</v>
      </c>
      <c r="G2" s="6" t="n">
        <v>46295</v>
      </c>
    </row>
    <row r="3" customFormat="false" ht="15" hidden="false" customHeight="false" outlineLevel="0" collapsed="false">
      <c r="A3" s="0" t="s">
        <v>29</v>
      </c>
      <c r="B3" s="0" t="n">
        <v>1002</v>
      </c>
      <c r="C3" s="0" t="s">
        <v>30</v>
      </c>
      <c r="D3" s="0" t="n">
        <v>3</v>
      </c>
      <c r="E3" s="2" t="n">
        <v>129.9</v>
      </c>
      <c r="F3" s="2" t="n">
        <f aca="false">D3*E3</f>
        <v>389.7</v>
      </c>
      <c r="G3" s="6" t="n">
        <v>46297</v>
      </c>
    </row>
    <row r="4" customFormat="false" ht="15" hidden="false" customHeight="false" outlineLevel="0" collapsed="false">
      <c r="A4" s="0" t="s">
        <v>31</v>
      </c>
      <c r="B4" s="0" t="n">
        <v>1003</v>
      </c>
      <c r="C4" s="0" t="s">
        <v>32</v>
      </c>
      <c r="D4" s="0" t="n">
        <v>40</v>
      </c>
      <c r="E4" s="2" t="n">
        <v>7.5</v>
      </c>
      <c r="F4" s="2" t="n">
        <f aca="false">D4*E4</f>
        <v>300</v>
      </c>
      <c r="G4" s="6" t="n">
        <v>46307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2026-10-23T17:09:19Z</dcterms:created>
  <dc:creator>openpyxl</dc:creator>
  <dc:description/>
  <dc:language>en-US</dc:language>
  <cp:lastModifiedBy/>
  <dcterms:modified xsi:type="dcterms:W3CDTF">2026-10-23T17:09:19Z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